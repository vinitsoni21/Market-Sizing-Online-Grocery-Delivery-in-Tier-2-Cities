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init/Downloads/"/>
    </mc:Choice>
  </mc:AlternateContent>
  <xr:revisionPtr revIDLastSave="0" documentId="13_ncr:1_{0B4DB4D9-8117-F342-89AA-B7954A144072}" xr6:coauthVersionLast="47" xr6:coauthVersionMax="47" xr10:uidLastSave="{00000000-0000-0000-0000-000000000000}"/>
  <bookViews>
    <workbookView xWindow="0" yWindow="600" windowWidth="51200" windowHeight="26980" xr2:uid="{00000000-000D-0000-FFFF-FFFF00000000}"/>
  </bookViews>
  <sheets>
    <sheet name="Dashboard" sheetId="1" r:id="rId1"/>
    <sheet name="Data" sheetId="2" r:id="rId2"/>
  </sheets>
  <definedNames>
    <definedName name="_xlnm._FilterDatabase" localSheetId="1" hidden="1">Data!$A$1:$P$11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<sst xmlns="http://schemas.openxmlformats.org/spreadsheetml/2006/main" count="66" uniqueCount="51">
  <si>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TIER-2 INDIA QUICK-COMMERCE MARKET SIZING</t>
  </si>
  <si>
    <t>Bottom-up estimate across 10 selected non-metro / Tier-2 cities</t>
  </si>
  <si>
    <t>TOTAL MARKET SIZE</t>
  </si>
  <si>
    <t>LARGEST MARKET</t>
  </si>
  <si>
    <t>TOP 3 MARKET SHARE</t>
  </si>
  <si>
    <t>AVERAGE EST. AOV</t>
  </si>
  <si>
    <t>₹3,165.6 Cr</t>
  </si>
  <si>
    <t>Surat — ₹645.9 Cr</t>
  </si>
  <si>
    <t>47.3%</t>
  </si>
  <si>
    <t>₹523</t>
  </si>
  <si>
    <t>Rank</t>
  </si>
  <si>
    <t>City</t>
  </si>
  <si>
    <t>Market Size (₹ Cr)</t>
  </si>
  <si>
    <t>Market Share</t>
  </si>
  <si>
    <t>MPCE (₹)</t>
  </si>
  <si>
    <t>Internet Facility</t>
  </si>
  <si>
    <t>MPCE</t>
  </si>
  <si>
    <t>Market Size</t>
  </si>
  <si>
    <t>Surat</t>
  </si>
  <si>
    <t>Chandigarh</t>
  </si>
  <si>
    <t>Nagpur</t>
  </si>
  <si>
    <t>Jaipur</t>
  </si>
  <si>
    <t>Lucknow</t>
  </si>
  <si>
    <t>Coimbatore</t>
  </si>
  <si>
    <t>Indore</t>
  </si>
  <si>
    <t>Vadodara</t>
  </si>
  <si>
    <t>Patna</t>
  </si>
  <si>
    <t>Bhopal</t>
  </si>
  <si>
    <t>MODEL NOTES</t>
  </si>
  <si>
    <t>Market size = Estimated Households × 10.06% online grocery penetration × MPCE-adjusted AOV × 6 Q-commerce orders/month × 12. MPCE-adjusted AOV is an analyst-derived estimate: ₹514 × (city/state urban MPCE ÷ India urban MPCE ₹7,078). Internet facility and MPCE are included as city-level context variables. Population and household estimates are derived inputs; see project README/source documentation for methodology and sources.</t>
  </si>
  <si>
    <t>State/UT</t>
  </si>
  <si>
    <t>2026 Population</t>
  </si>
  <si>
    <t>Urban Avg Household Size</t>
  </si>
  <si>
    <t>Urban MPCE (₹/person/month)</t>
  </si>
  <si>
    <t>Urban HH Internet Facility (%)</t>
  </si>
  <si>
    <t>Estimated Households</t>
  </si>
  <si>
    <t>Internet-Connected Households</t>
  </si>
  <si>
    <t>Online Grocery Penetration (%)</t>
  </si>
  <si>
    <t>Estimated Online Grocery HHs</t>
  </si>
  <si>
    <t>MPCE Index vs India Urban</t>
  </si>
  <si>
    <t>MPCE-Adjusted AOV (₹)</t>
  </si>
  <si>
    <t>Q-commerce Orders/Month</t>
  </si>
  <si>
    <t>Estimated Annual Market Size (₹ Cr)</t>
  </si>
  <si>
    <t>Market Share of 10-City Total</t>
  </si>
  <si>
    <t>Gujarat</t>
  </si>
  <si>
    <t>Maharashtra</t>
  </si>
  <si>
    <t>Rajasthan</t>
  </si>
  <si>
    <t>Uttar Pradesh</t>
  </si>
  <si>
    <t>Tamil Nadu</t>
  </si>
  <si>
    <t>Madhya Pradesh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</si>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</sst>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i/>
      <sz val="11"/>
      <color rgb="FF666666"/>
      <name val="Calibri"/>
      <family val="2"/>
    </font>
    <font>
      <b/>
      <sz val="10"/>
      <color rgb="FFFFFFFF"/>
      <name val="Calibri"/>
      <family val="2"/>
    </font>
    <font>
      <b/>
      <sz val="15"/>
      <color rgb="FF17365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Estimated Annual Market Size by City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228258956386"/>
          <c:y val="0.1306122448979592"/>
          <c:w val="0.8304775967779362"/>
          <c:h val="0.79447758315924777"/>
        </c:manualLayout>
      </c:layout>
      <c:barChart>
        <c:barDir val="bar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Dashboard!$B$10:$B$19</c:f>
              <c:strCache>
                <c:ptCount val="10"/>
                <c:pt idx="0">
                  <c:v>Surat</c:v>
                </c:pt>
                <c:pt idx="1">
                  <c:v>Chandigarh</c:v>
                </c:pt>
                <c:pt idx="2">
                  <c:v>Nagpur</c:v>
                </c:pt>
                <c:pt idx="3">
                  <c:v>Jaipur</c:v>
                </c:pt>
                <c:pt idx="4">
                  <c:v>Lucknow</c:v>
                </c:pt>
                <c:pt idx="5">
                  <c:v>Coimbatore</c:v>
                </c:pt>
                <c:pt idx="6">
                  <c:v>Indore</c:v>
                </c:pt>
                <c:pt idx="7">
                  <c:v>Vadodara</c:v>
                </c:pt>
                <c:pt idx="8">
                  <c:v>Patna</c:v>
                </c:pt>
                <c:pt idx="9">
                  <c:v>Bhopal</c:v>
                </c:pt>
              </c:strCache>
            </c:strRef>
          </c:cat>
          <c:val>
            <c:numRef>
              <c:f>Dashboard!$C$10:$C$19</c:f>
              <c:numCache>
                <c:formatCode>\₹#,##0.0</c:formatCode>
                <c:ptCount val="10"/>
                <c:pt idx="0">
                  <c:v>645.9</c:v>
                </c:pt>
                <c:pt idx="1">
                  <c:v>524.6</c:v>
                </c:pt>
                <c:pt idx="2">
                  <c:v>326.7</c:v>
                </c:pt>
                <c:pt idx="3">
                  <c:v>317.39999999999998</c:v>
                </c:pt>
                <c:pt idx="4">
                  <c:v>296.3</c:v>
                </c:pt>
                <c:pt idx="5">
                  <c:v>285.10000000000002</c:v>
                </c:pt>
                <c:pt idx="6">
                  <c:v>222.4</c:v>
                </c:pt>
                <c:pt idx="7">
                  <c:v>212.5</c:v>
                </c:pt>
                <c:pt idx="8">
                  <c:v>175.4</c:v>
                </c:pt>
                <c:pt idx="9">
                  <c:v>159.30000000000001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7-AB4E-A671-F33530F2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10-City Market Share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4690154115350965"/>
          <c:y val="0.14226403930559423"/>
          <c:w val="0.47542768692374998"/>
          <c:h val="0.76498075306268232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3B6763CA-85D7-6B40-A6F9-E8F4CA7FF67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5E0446A2-2948-6D45-8465-B9429DFC19D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BB8-8F45-AFEA-312D08C018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105804-BBDA-AF4C-A5A7-7B6A5E8BBA39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9FF68B73-A5E5-ED4D-A231-55573432327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BB8-8F45-AFEA-312D08C018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6988C5DD-5EBE-0542-8D9F-6838D02E6B5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0B84E212-4893-AF41-B1AF-D78C796FD86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BB8-8F45-AFEA-312D08C018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33B5CF-636C-9E4A-830F-E170B139596A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101C83E9-75C3-3D4D-AC35-7DAF8F757D0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BB8-8F45-AFEA-312D08C018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D377143-1C99-A146-8B67-03B515171432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9A475F25-0F1D-364C-900A-0FAACBE8E7B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BB8-8F45-AFEA-312D08C018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6C4BFD67-AC0E-6042-BDE6-9B2FBD81CA42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F8B9292C-7548-F84A-B27C-FB57381A293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BB8-8F45-AFEA-312D08C018D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41F28918-824E-F34F-8108-DE45AC6ACBF7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5DFF415F-3560-7143-87F2-E9B455BFC1D0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BB8-8F45-AFEA-312D08C018D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F5A68FD-ACD4-7D41-8881-6DE9EBD86C47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C2785A67-8CCA-BC4A-992D-2870C64F409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BB8-8F45-AFEA-312D08C018D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D84156-5247-C941-9981-80A8B362BEB7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903C2B93-D305-8844-9171-79E1D51FF90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ABB8-8F45-AFEA-312D08C018D6}"/>
                </c:ext>
              </c:extLst>
            </c:dLbl>
            <c:dLbl>
              <c:idx val="9"/>
              <c:layout>
                <c:manualLayout>
                  <c:x val="1.1132749584209334E-2"/>
                  <c:y val="0.1420187828961135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0DBAC832-052E-1041-9608-ADF37F2C3727}" type="CATEGORYNAME">
                      <a:rPr lang="en-US" baseline="0"/>
                      <a:pPr>
                        <a:defRPr/>
                      </a:pPr>
                      <a:t>[CATEGORY NAME]</a:t>
                    </a:fld>
                    <a:endParaRPr lang="en-US" baseline="0"/>
                  </a:p>
                  <a:p>
                    <a:pPr>
                      <a:defRPr/>
                    </a:pPr>
                    <a:fld id="{119B316C-5810-474E-8B44-17142EE98088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6.1571068409611657E-2"/>
                      <c:h val="0.125321470326603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ABB8-8F45-AFEA-312D08C018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Dashboard!$B$10:$B$19</c:f>
              <c:strCache>
                <c:ptCount val="10"/>
                <c:pt idx="0">
                  <c:v>Surat</c:v>
                </c:pt>
                <c:pt idx="1">
                  <c:v>Chandigarh</c:v>
                </c:pt>
                <c:pt idx="2">
                  <c:v>Nagpur</c:v>
                </c:pt>
                <c:pt idx="3">
                  <c:v>Jaipur</c:v>
                </c:pt>
                <c:pt idx="4">
                  <c:v>Lucknow</c:v>
                </c:pt>
                <c:pt idx="5">
                  <c:v>Coimbatore</c:v>
                </c:pt>
                <c:pt idx="6">
                  <c:v>Indore</c:v>
                </c:pt>
                <c:pt idx="7">
                  <c:v>Vadodara</c:v>
                </c:pt>
                <c:pt idx="8">
                  <c:v>Patna</c:v>
                </c:pt>
                <c:pt idx="9">
                  <c:v>Bhopal</c:v>
                </c:pt>
              </c:strCache>
            </c:strRef>
          </c:cat>
          <c:val>
            <c:numRef>
              <c:f>Dashboard!$D$10:$D$19</c:f>
              <c:numCache>
                <c:formatCode>0.0%</c:formatCode>
                <c:ptCount val="10"/>
                <c:pt idx="0">
                  <c:v>0.20399999999999999</c:v>
                </c:pt>
                <c:pt idx="1">
                  <c:v>0.16600000000000001</c:v>
                </c:pt>
                <c:pt idx="2">
                  <c:v>0.10299999999999999</c:v>
                </c:pt>
                <c:pt idx="3">
                  <c:v>0.1</c:v>
                </c:pt>
                <c:pt idx="4">
                  <c:v>9.4E-2</c:v>
                </c:pt>
                <c:pt idx="5">
                  <c:v>0.09</c:v>
                </c:pt>
                <c:pt idx="6">
                  <c:v>7.0000000000000007E-2</c:v>
                </c:pt>
                <c:pt idx="7">
                  <c:v>6.7000000000000004E-2</c:v>
                </c:pt>
                <c:pt idx="8">
                  <c:v>5.5E-2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8-8F45-AFEA-312D08C018D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607784</xdr:colOff>
      <xdr:row>19</xdr:row>
      <xdr:rowOff>181429</xdr:rowOff>
    </xdr:from>
    <xdr:ext cx="6567716" cy="3111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381000</xdr:colOff>
      <xdr:row>8</xdr:row>
      <xdr:rowOff>81643</xdr:rowOff>
    </xdr:from>
    <xdr:ext cx="7692574" cy="561521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showGridLines="0" tabSelected="1" zoomScale="140" zoomScaleNormal="140" workbookViewId="0">
      <pane ySplit="8" topLeftCell="A9" activePane="bottomLeft" state="frozen"/>
      <selection pane="bottomLeft" activeCell="M49" sqref="M49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6" width="18" customWidth="1"/>
    <col min="7" max="14" width="14" customWidth="1"/>
    <col min="15" max="16" width="14" hidden="1" customWidth="1"/>
  </cols>
  <sheetData>
    <row r="1" spans="1:16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x14ac:dyDescent="0.2">
      <c r="A3" s="16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spans="1:16" x14ac:dyDescent="0.2">
      <c r="A5" s="17" t="s">
        <v>2</v>
      </c>
      <c r="B5" s="15"/>
      <c r="C5" s="15"/>
      <c r="D5" s="17" t="s">
        <v>3</v>
      </c>
      <c r="E5" s="15"/>
      <c r="F5" s="15"/>
      <c r="G5" s="17" t="s">
        <v>4</v>
      </c>
      <c r="H5" s="15"/>
      <c r="I5" s="15"/>
      <c r="J5" s="17" t="s">
        <v>5</v>
      </c>
      <c r="K5" s="15"/>
      <c r="L5" s="15"/>
      <c r="M5" s="1"/>
      <c r="N5" s="1"/>
    </row>
    <row r="6" spans="1:16" x14ac:dyDescent="0.2">
      <c r="A6" s="14" t="s">
        <v>6</v>
      </c>
      <c r="B6" s="15"/>
      <c r="C6" s="15"/>
      <c r="D6" s="14" t="s">
        <v>7</v>
      </c>
      <c r="E6" s="15"/>
      <c r="F6" s="15"/>
      <c r="G6" s="14" t="s">
        <v>8</v>
      </c>
      <c r="H6" s="15"/>
      <c r="I6" s="15"/>
      <c r="J6" s="14" t="s">
        <v>9</v>
      </c>
      <c r="K6" s="15"/>
      <c r="L6" s="15"/>
      <c r="M6" s="1"/>
      <c r="N6" s="1"/>
    </row>
    <row r="7" spans="1:16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"/>
      <c r="N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6" x14ac:dyDescent="0.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1"/>
      <c r="H9" s="1"/>
      <c r="I9" s="1"/>
      <c r="J9" s="1"/>
      <c r="K9" s="1"/>
      <c r="L9" s="1"/>
      <c r="M9" s="1"/>
      <c r="N9" s="1"/>
      <c r="O9" t="s">
        <v>16</v>
      </c>
      <c r="P9" t="s">
        <v>17</v>
      </c>
    </row>
    <row r="10" spans="1:16" x14ac:dyDescent="0.2">
      <c r="A10" s="3">
        <v>1</v>
      </c>
      <c r="B10" s="3" t="s">
        <v>18</v>
      </c>
      <c r="C10" s="4">
        <v>645.9</v>
      </c>
      <c r="D10" s="5">
        <v>0.20399999999999999</v>
      </c>
      <c r="E10" s="3">
        <v>7198</v>
      </c>
      <c r="F10" s="5">
        <v>0.93</v>
      </c>
      <c r="G10" s="1"/>
      <c r="H10" s="1"/>
      <c r="I10" s="1"/>
      <c r="J10" s="1"/>
      <c r="K10" s="1"/>
      <c r="L10" s="1"/>
      <c r="M10" s="1"/>
      <c r="N10" s="1"/>
      <c r="O10">
        <v>7198</v>
      </c>
      <c r="P10">
        <v>645.9</v>
      </c>
    </row>
    <row r="11" spans="1:16" x14ac:dyDescent="0.2">
      <c r="A11" s="6">
        <v>2</v>
      </c>
      <c r="B11" s="6" t="s">
        <v>19</v>
      </c>
      <c r="C11" s="7">
        <v>524.6</v>
      </c>
      <c r="D11" s="8">
        <v>0.16600000000000001</v>
      </c>
      <c r="E11" s="6">
        <v>13425</v>
      </c>
      <c r="F11" s="8">
        <v>1</v>
      </c>
      <c r="G11" s="1"/>
      <c r="H11" s="1"/>
      <c r="I11" s="1"/>
      <c r="J11" s="1"/>
      <c r="K11" s="1"/>
      <c r="L11" s="1"/>
      <c r="M11" s="1"/>
      <c r="N11" s="1"/>
      <c r="O11">
        <v>13425</v>
      </c>
      <c r="P11">
        <v>524.6</v>
      </c>
    </row>
    <row r="12" spans="1:16" x14ac:dyDescent="0.2">
      <c r="A12" s="3">
        <v>3</v>
      </c>
      <c r="B12" s="3" t="s">
        <v>20</v>
      </c>
      <c r="C12" s="4">
        <v>326.7</v>
      </c>
      <c r="D12" s="5">
        <v>0.10299999999999999</v>
      </c>
      <c r="E12" s="3">
        <v>7415</v>
      </c>
      <c r="F12" s="5">
        <v>0.94799999999999995</v>
      </c>
      <c r="G12" s="1"/>
      <c r="H12" s="1"/>
      <c r="I12" s="1"/>
      <c r="J12" s="1"/>
      <c r="K12" s="1"/>
      <c r="L12" s="1"/>
      <c r="M12" s="1"/>
      <c r="N12" s="1"/>
      <c r="O12">
        <v>7415</v>
      </c>
      <c r="P12">
        <v>326.7</v>
      </c>
    </row>
    <row r="13" spans="1:16" x14ac:dyDescent="0.2">
      <c r="A13" s="6">
        <v>4</v>
      </c>
      <c r="B13" s="6" t="s">
        <v>21</v>
      </c>
      <c r="C13" s="7">
        <v>317.39999999999998</v>
      </c>
      <c r="D13" s="8">
        <v>0.1</v>
      </c>
      <c r="E13" s="6">
        <v>6640</v>
      </c>
      <c r="F13" s="8">
        <v>0.95400000000000007</v>
      </c>
      <c r="G13" s="1"/>
      <c r="H13" s="1"/>
      <c r="I13" s="1"/>
      <c r="J13" s="1"/>
      <c r="K13" s="1"/>
      <c r="L13" s="1"/>
      <c r="M13" s="1"/>
      <c r="N13" s="1"/>
      <c r="O13">
        <v>6640</v>
      </c>
      <c r="P13">
        <v>317.39999999999998</v>
      </c>
    </row>
    <row r="14" spans="1:16" x14ac:dyDescent="0.2">
      <c r="A14" s="3">
        <v>5</v>
      </c>
      <c r="B14" s="3" t="s">
        <v>22</v>
      </c>
      <c r="C14" s="4">
        <v>296.3</v>
      </c>
      <c r="D14" s="5">
        <v>9.4E-2</v>
      </c>
      <c r="E14" s="3">
        <v>5474</v>
      </c>
      <c r="F14" s="5">
        <v>0.89</v>
      </c>
      <c r="G14" s="1"/>
      <c r="H14" s="1"/>
      <c r="I14" s="1"/>
      <c r="J14" s="1"/>
      <c r="K14" s="1"/>
      <c r="L14" s="1"/>
      <c r="M14" s="1"/>
      <c r="N14" s="1"/>
      <c r="O14">
        <v>5474</v>
      </c>
      <c r="P14">
        <v>296.3</v>
      </c>
    </row>
    <row r="15" spans="1:16" x14ac:dyDescent="0.2">
      <c r="A15" s="6">
        <v>6</v>
      </c>
      <c r="B15" s="6" t="s">
        <v>23</v>
      </c>
      <c r="C15" s="7">
        <v>285.10000000000002</v>
      </c>
      <c r="D15" s="8">
        <v>0.09</v>
      </c>
      <c r="E15" s="6">
        <v>8325</v>
      </c>
      <c r="F15" s="8">
        <v>0.86599999999999999</v>
      </c>
      <c r="G15" s="1"/>
      <c r="H15" s="1"/>
      <c r="I15" s="1"/>
      <c r="J15" s="1"/>
      <c r="K15" s="1"/>
      <c r="L15" s="1"/>
      <c r="M15" s="1"/>
      <c r="N15" s="1"/>
      <c r="O15">
        <v>8325</v>
      </c>
      <c r="P15">
        <v>285.10000000000002</v>
      </c>
    </row>
    <row r="16" spans="1:16" x14ac:dyDescent="0.2">
      <c r="A16" s="3">
        <v>7</v>
      </c>
      <c r="B16" s="3" t="s">
        <v>24</v>
      </c>
      <c r="C16" s="4">
        <v>222.4</v>
      </c>
      <c r="D16" s="5">
        <v>7.0000000000000007E-2</v>
      </c>
      <c r="E16" s="3">
        <v>5589</v>
      </c>
      <c r="F16" s="5">
        <v>0.8859999999999999</v>
      </c>
      <c r="G16" s="1"/>
      <c r="H16" s="1"/>
      <c r="I16" s="1"/>
      <c r="J16" s="1"/>
      <c r="K16" s="1"/>
      <c r="L16" s="1"/>
      <c r="M16" s="1"/>
      <c r="N16" s="1"/>
      <c r="O16">
        <v>5589</v>
      </c>
      <c r="P16">
        <v>222.4</v>
      </c>
    </row>
    <row r="17" spans="1:16" x14ac:dyDescent="0.2">
      <c r="A17" s="6">
        <v>8</v>
      </c>
      <c r="B17" s="6" t="s">
        <v>25</v>
      </c>
      <c r="C17" s="7">
        <v>212.5</v>
      </c>
      <c r="D17" s="8">
        <v>6.7000000000000004E-2</v>
      </c>
      <c r="E17" s="6">
        <v>7198</v>
      </c>
      <c r="F17" s="8">
        <v>0.93</v>
      </c>
      <c r="G17" s="1"/>
      <c r="H17" s="1"/>
      <c r="I17" s="1"/>
      <c r="J17" s="1"/>
      <c r="K17" s="1"/>
      <c r="L17" s="1"/>
      <c r="M17" s="1"/>
      <c r="N17" s="1"/>
      <c r="O17">
        <v>7198</v>
      </c>
      <c r="P17">
        <v>212.5</v>
      </c>
    </row>
    <row r="18" spans="1:16" x14ac:dyDescent="0.2">
      <c r="A18" s="3">
        <v>9</v>
      </c>
      <c r="B18" s="3" t="s">
        <v>26</v>
      </c>
      <c r="C18" s="4">
        <v>175.4</v>
      </c>
      <c r="D18" s="5">
        <v>5.5E-2</v>
      </c>
      <c r="E18" s="3">
        <v>5165</v>
      </c>
      <c r="F18" s="5">
        <v>0.92900000000000005</v>
      </c>
      <c r="G18" s="1"/>
      <c r="H18" s="1"/>
      <c r="I18" s="1"/>
      <c r="J18" s="1"/>
      <c r="K18" s="1"/>
      <c r="L18" s="1"/>
      <c r="M18" s="1"/>
      <c r="N18" s="1"/>
      <c r="O18">
        <v>5165</v>
      </c>
      <c r="P18">
        <v>175.4</v>
      </c>
    </row>
    <row r="19" spans="1:16" x14ac:dyDescent="0.2">
      <c r="A19" s="6">
        <v>10</v>
      </c>
      <c r="B19" s="6" t="s">
        <v>27</v>
      </c>
      <c r="C19" s="7">
        <v>159.30000000000001</v>
      </c>
      <c r="D19" s="8">
        <v>0.05</v>
      </c>
      <c r="E19" s="6">
        <v>5589</v>
      </c>
      <c r="F19" s="8">
        <v>0.8859999999999999</v>
      </c>
      <c r="G19" s="1"/>
      <c r="H19" s="1"/>
      <c r="I19" s="1"/>
      <c r="J19" s="1"/>
      <c r="K19" s="1"/>
      <c r="L19" s="1"/>
      <c r="M19" s="1"/>
      <c r="N19" s="1"/>
      <c r="O19">
        <v>5589</v>
      </c>
      <c r="P19">
        <v>159.30000000000001</v>
      </c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8" t="s">
        <v>28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">
      <c r="A40" s="19" t="s">
        <v>29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">
      <c r="A44" s="19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</sheetData>
  <mergeCells count="13">
    <mergeCell ref="A39:N39"/>
    <mergeCell ref="A40:N43"/>
    <mergeCell ref="A44:N47"/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7" customWidth="1"/>
    <col min="4" max="4" width="26" customWidth="1"/>
    <col min="5" max="5" width="29" customWidth="1"/>
    <col min="6" max="6" width="30" customWidth="1"/>
    <col min="7" max="7" width="22" customWidth="1"/>
    <col min="8" max="10" width="30" customWidth="1"/>
    <col min="11" max="11" width="27" customWidth="1"/>
    <col min="12" max="12" width="23" customWidth="1"/>
    <col min="13" max="13" width="25" customWidth="1"/>
    <col min="14" max="15" width="30" customWidth="1"/>
    <col min="16" max="16" width="12" customWidth="1"/>
  </cols>
  <sheetData>
    <row r="1" spans="1:16" ht="16" x14ac:dyDescent="0.2">
      <c r="A1" s="9" t="s">
        <v>11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10</v>
      </c>
    </row>
    <row r="2" spans="1:16" x14ac:dyDescent="0.2">
      <c r="A2" t="s">
        <v>18</v>
      </c>
      <c r="B2" t="s">
        <v>44</v>
      </c>
      <c r="C2">
        <v>6970910</v>
      </c>
      <c r="D2">
        <v>3.8</v>
      </c>
      <c r="E2">
        <v>7198</v>
      </c>
      <c r="F2" s="10">
        <v>93</v>
      </c>
      <c r="G2">
        <v>1834450</v>
      </c>
      <c r="H2">
        <v>1706039</v>
      </c>
      <c r="I2" s="10">
        <v>10.1</v>
      </c>
      <c r="J2">
        <v>171627</v>
      </c>
      <c r="K2">
        <v>1.0169999999999999</v>
      </c>
      <c r="L2">
        <v>522.70000000000005</v>
      </c>
      <c r="M2">
        <v>6</v>
      </c>
      <c r="N2" s="11">
        <v>645.9</v>
      </c>
      <c r="O2" s="10">
        <v>20.399999999999999</v>
      </c>
      <c r="P2">
        <v>1</v>
      </c>
    </row>
    <row r="3" spans="1:16" x14ac:dyDescent="0.2">
      <c r="A3" t="s">
        <v>19</v>
      </c>
      <c r="B3" t="s">
        <v>19</v>
      </c>
      <c r="C3">
        <v>2451669</v>
      </c>
      <c r="D3">
        <v>3.3</v>
      </c>
      <c r="E3">
        <v>13425</v>
      </c>
      <c r="F3" s="10">
        <v>100</v>
      </c>
      <c r="G3">
        <v>742930</v>
      </c>
      <c r="H3">
        <v>742930</v>
      </c>
      <c r="I3" s="10">
        <v>10.1</v>
      </c>
      <c r="J3">
        <v>74739</v>
      </c>
      <c r="K3">
        <v>1.897</v>
      </c>
      <c r="L3">
        <v>974.9</v>
      </c>
      <c r="M3">
        <v>6</v>
      </c>
      <c r="N3" s="11">
        <v>524.6</v>
      </c>
      <c r="O3" s="10">
        <v>16.600000000000001</v>
      </c>
      <c r="P3">
        <v>2</v>
      </c>
    </row>
    <row r="4" spans="1:16" x14ac:dyDescent="0.2">
      <c r="A4" t="s">
        <v>20</v>
      </c>
      <c r="B4" t="s">
        <v>45</v>
      </c>
      <c r="C4">
        <v>3268831</v>
      </c>
      <c r="D4">
        <v>3.7</v>
      </c>
      <c r="E4">
        <v>7415</v>
      </c>
      <c r="F4" s="10">
        <v>94.8</v>
      </c>
      <c r="G4">
        <v>883468</v>
      </c>
      <c r="H4">
        <v>837528</v>
      </c>
      <c r="I4" s="10">
        <v>10.1</v>
      </c>
      <c r="J4">
        <v>84255</v>
      </c>
      <c r="K4">
        <v>1.048</v>
      </c>
      <c r="L4">
        <v>538.5</v>
      </c>
      <c r="M4">
        <v>6</v>
      </c>
      <c r="N4" s="11">
        <v>326.7</v>
      </c>
      <c r="O4" s="10">
        <v>10.3</v>
      </c>
      <c r="P4">
        <v>3</v>
      </c>
    </row>
    <row r="5" spans="1:16" x14ac:dyDescent="0.2">
      <c r="A5" t="s">
        <v>21</v>
      </c>
      <c r="B5" t="s">
        <v>46</v>
      </c>
      <c r="C5">
        <v>4096212</v>
      </c>
      <c r="D5">
        <v>4.3</v>
      </c>
      <c r="E5">
        <v>6640</v>
      </c>
      <c r="F5" s="10">
        <v>95.4</v>
      </c>
      <c r="G5">
        <v>952607</v>
      </c>
      <c r="H5">
        <v>908787</v>
      </c>
      <c r="I5" s="10">
        <v>10.1</v>
      </c>
      <c r="J5">
        <v>91424</v>
      </c>
      <c r="K5">
        <v>0.93799999999999994</v>
      </c>
      <c r="L5">
        <v>482.2</v>
      </c>
      <c r="M5">
        <v>6</v>
      </c>
      <c r="N5" s="11">
        <v>317.39999999999998</v>
      </c>
      <c r="O5" s="10">
        <v>10</v>
      </c>
      <c r="P5">
        <v>4</v>
      </c>
    </row>
    <row r="6" spans="1:16" x14ac:dyDescent="0.2">
      <c r="A6" t="s">
        <v>22</v>
      </c>
      <c r="B6" t="s">
        <v>47</v>
      </c>
      <c r="C6">
        <v>5087496</v>
      </c>
      <c r="D6">
        <v>4.4000000000000004</v>
      </c>
      <c r="E6">
        <v>5474</v>
      </c>
      <c r="F6" s="10">
        <v>89</v>
      </c>
      <c r="G6">
        <v>1156249</v>
      </c>
      <c r="H6">
        <v>1029062</v>
      </c>
      <c r="I6" s="10">
        <v>10.1</v>
      </c>
      <c r="J6">
        <v>103524</v>
      </c>
      <c r="K6">
        <v>0.77300000000000002</v>
      </c>
      <c r="L6">
        <v>397.5</v>
      </c>
      <c r="M6">
        <v>6</v>
      </c>
      <c r="N6" s="11">
        <v>296.3</v>
      </c>
      <c r="O6" s="10">
        <v>9.4</v>
      </c>
      <c r="P6">
        <v>5</v>
      </c>
    </row>
    <row r="7" spans="1:16" x14ac:dyDescent="0.2">
      <c r="A7" t="s">
        <v>23</v>
      </c>
      <c r="B7" t="s">
        <v>48</v>
      </c>
      <c r="C7">
        <v>2406204</v>
      </c>
      <c r="D7">
        <v>3.2</v>
      </c>
      <c r="E7">
        <v>8325</v>
      </c>
      <c r="F7" s="10">
        <v>86.6</v>
      </c>
      <c r="G7">
        <v>751939</v>
      </c>
      <c r="H7">
        <v>651179</v>
      </c>
      <c r="I7" s="10">
        <v>10.1</v>
      </c>
      <c r="J7">
        <v>65509</v>
      </c>
      <c r="K7">
        <v>1.1759999999999999</v>
      </c>
      <c r="L7">
        <v>604.6</v>
      </c>
      <c r="M7">
        <v>6</v>
      </c>
      <c r="N7" s="11">
        <v>285.10000000000002</v>
      </c>
      <c r="O7" s="10">
        <v>9</v>
      </c>
      <c r="P7">
        <v>6</v>
      </c>
    </row>
    <row r="8" spans="1:16" x14ac:dyDescent="0.2">
      <c r="A8" t="s">
        <v>24</v>
      </c>
      <c r="B8" t="s">
        <v>49</v>
      </c>
      <c r="C8">
        <v>3500688</v>
      </c>
      <c r="D8">
        <v>4.0999999999999996</v>
      </c>
      <c r="E8">
        <v>5589</v>
      </c>
      <c r="F8" s="10">
        <v>88.6</v>
      </c>
      <c r="G8">
        <v>853826</v>
      </c>
      <c r="H8">
        <v>756490</v>
      </c>
      <c r="I8" s="10">
        <v>10.1</v>
      </c>
      <c r="J8">
        <v>76103</v>
      </c>
      <c r="K8">
        <v>0.79</v>
      </c>
      <c r="L8">
        <v>405.9</v>
      </c>
      <c r="M8">
        <v>6</v>
      </c>
      <c r="N8" s="11">
        <v>222.4</v>
      </c>
      <c r="O8" s="10">
        <v>7</v>
      </c>
      <c r="P8">
        <v>7</v>
      </c>
    </row>
    <row r="9" spans="1:16" x14ac:dyDescent="0.2">
      <c r="A9" t="s">
        <v>25</v>
      </c>
      <c r="B9" t="s">
        <v>44</v>
      </c>
      <c r="C9">
        <v>2293031</v>
      </c>
      <c r="D9">
        <v>3.8</v>
      </c>
      <c r="E9">
        <v>7198</v>
      </c>
      <c r="F9" s="10">
        <v>93</v>
      </c>
      <c r="G9">
        <v>603429</v>
      </c>
      <c r="H9">
        <v>561189</v>
      </c>
      <c r="I9" s="10">
        <v>10.1</v>
      </c>
      <c r="J9">
        <v>56456</v>
      </c>
      <c r="K9">
        <v>1.0169999999999999</v>
      </c>
      <c r="L9">
        <v>522.70000000000005</v>
      </c>
      <c r="M9">
        <v>6</v>
      </c>
      <c r="N9" s="11">
        <v>212.5</v>
      </c>
      <c r="O9" s="10">
        <v>6.7</v>
      </c>
      <c r="P9">
        <v>8</v>
      </c>
    </row>
    <row r="10" spans="1:16" x14ac:dyDescent="0.2">
      <c r="A10" t="s">
        <v>26</v>
      </c>
      <c r="B10" t="s">
        <v>50</v>
      </c>
      <c r="C10">
        <v>3335351</v>
      </c>
      <c r="D10">
        <v>4.8</v>
      </c>
      <c r="E10">
        <v>5165</v>
      </c>
      <c r="F10" s="10">
        <v>92.9</v>
      </c>
      <c r="G10">
        <v>694865</v>
      </c>
      <c r="H10">
        <v>645529</v>
      </c>
      <c r="I10" s="10">
        <v>10.1</v>
      </c>
      <c r="J10">
        <v>64940</v>
      </c>
      <c r="K10">
        <v>0.73</v>
      </c>
      <c r="L10">
        <v>375.1</v>
      </c>
      <c r="M10">
        <v>6</v>
      </c>
      <c r="N10" s="11">
        <v>175.4</v>
      </c>
      <c r="O10" s="10">
        <v>5.5</v>
      </c>
      <c r="P10">
        <v>9</v>
      </c>
    </row>
    <row r="11" spans="1:16" x14ac:dyDescent="0.2">
      <c r="A11" t="s">
        <v>27</v>
      </c>
      <c r="B11" t="s">
        <v>49</v>
      </c>
      <c r="C11">
        <v>2507664</v>
      </c>
      <c r="D11">
        <v>4.0999999999999996</v>
      </c>
      <c r="E11">
        <v>5589</v>
      </c>
      <c r="F11" s="10">
        <v>88.6</v>
      </c>
      <c r="G11">
        <v>611625</v>
      </c>
      <c r="H11">
        <v>541900</v>
      </c>
      <c r="I11" s="10">
        <v>10.1</v>
      </c>
      <c r="J11">
        <v>54515</v>
      </c>
      <c r="K11">
        <v>0.79</v>
      </c>
      <c r="L11">
        <v>405.9</v>
      </c>
      <c r="M11">
        <v>6</v>
      </c>
      <c r="N11" s="11">
        <v>159.30000000000001</v>
      </c>
      <c r="O11" s="10">
        <v>5</v>
      </c>
      <c r="P11">
        <v>10</v>
      </c>
    </row>
  </sheetData>
  <autoFilter ref="A1:P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soni</cp:lastModifiedBy>
  <dcterms:created xsi:type="dcterms:W3CDTF">2026-09-04T20:45:13Z</dcterms:created>
  <dcterms:modified xsi:type="dcterms:W3CDTF">2026-09-04T21:00:13Z</dcterms:modified>
</cp:coreProperties>
</file>